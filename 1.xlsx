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e\Desktop\"/>
    </mc:Choice>
  </mc:AlternateContent>
  <xr:revisionPtr revIDLastSave="0" documentId="13_ncr:1_{A6EAF47A-E4C5-4441-A133-CE5E7977579C}" xr6:coauthVersionLast="47" xr6:coauthVersionMax="47" xr10:uidLastSave="{00000000-0000-0000-0000-000000000000}"/>
  <bookViews>
    <workbookView xWindow="-120" yWindow="-120" windowWidth="29040" windowHeight="15720" xr2:uid="{DF026EEF-3546-4978-ACF6-D84FDFAC432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4" i="1"/>
  <c r="C5" i="1"/>
  <c r="B6" i="1" s="1"/>
  <c r="C6" i="1" s="1"/>
  <c r="B7" i="1" l="1"/>
  <c r="C7" i="1" s="1"/>
  <c r="D6" i="1"/>
  <c r="D5" i="1"/>
  <c r="L16" i="1"/>
  <c r="O4" i="1" s="1"/>
  <c r="J4" i="1" l="1"/>
  <c r="I4" i="1"/>
  <c r="H4" i="1"/>
  <c r="J5" i="1"/>
  <c r="I5" i="1"/>
  <c r="H5" i="1"/>
  <c r="B8" i="1"/>
  <c r="C8" i="1" s="1"/>
  <c r="D7" i="1"/>
  <c r="J6" i="1" l="1"/>
  <c r="I6" i="1"/>
  <c r="H6" i="1"/>
  <c r="B9" i="1"/>
  <c r="C9" i="1" s="1"/>
  <c r="D8" i="1"/>
  <c r="J7" i="1" l="1"/>
  <c r="I7" i="1"/>
  <c r="H7" i="1"/>
  <c r="B10" i="1"/>
  <c r="C10" i="1" s="1"/>
  <c r="D9" i="1"/>
  <c r="B11" i="1" l="1"/>
  <c r="C11" i="1" s="1"/>
  <c r="D10" i="1"/>
  <c r="B12" i="1" l="1"/>
  <c r="C12" i="1" s="1"/>
  <c r="D11" i="1"/>
  <c r="B13" i="1" l="1"/>
  <c r="C13" i="1" s="1"/>
  <c r="D12" i="1"/>
  <c r="B14" i="1" l="1"/>
  <c r="C14" i="1" s="1"/>
  <c r="D13" i="1"/>
  <c r="B15" i="1" l="1"/>
  <c r="C15" i="1" s="1"/>
  <c r="D14" i="1"/>
  <c r="B16" i="1" l="1"/>
  <c r="C16" i="1" s="1"/>
  <c r="D15" i="1"/>
  <c r="B17" i="1" l="1"/>
  <c r="C17" i="1" s="1"/>
  <c r="D16" i="1"/>
  <c r="B18" i="1" l="1"/>
  <c r="C18" i="1" s="1"/>
  <c r="D17" i="1"/>
  <c r="B19" i="1" l="1"/>
  <c r="C19" i="1" s="1"/>
  <c r="D18" i="1"/>
  <c r="B20" i="1" l="1"/>
  <c r="C20" i="1" s="1"/>
  <c r="D19" i="1"/>
  <c r="B21" i="1" l="1"/>
  <c r="C21" i="1" s="1"/>
  <c r="D20" i="1"/>
  <c r="B22" i="1" l="1"/>
  <c r="C22" i="1" s="1"/>
  <c r="D21" i="1"/>
  <c r="B23" i="1" l="1"/>
  <c r="C23" i="1" s="1"/>
  <c r="D22" i="1"/>
  <c r="B24" i="1" l="1"/>
  <c r="C24" i="1" s="1"/>
  <c r="D23" i="1"/>
  <c r="B25" i="1" l="1"/>
  <c r="C25" i="1" s="1"/>
  <c r="D24" i="1"/>
  <c r="B26" i="1" l="1"/>
  <c r="C26" i="1" s="1"/>
  <c r="D25" i="1"/>
  <c r="B27" i="1" l="1"/>
  <c r="C27" i="1" s="1"/>
  <c r="D26" i="1"/>
  <c r="B28" i="1" l="1"/>
  <c r="C28" i="1" s="1"/>
  <c r="D27" i="1"/>
  <c r="B29" i="1" l="1"/>
  <c r="C29" i="1" s="1"/>
  <c r="D28" i="1"/>
  <c r="B30" i="1" l="1"/>
  <c r="C30" i="1" s="1"/>
  <c r="D29" i="1"/>
  <c r="B31" i="1" l="1"/>
  <c r="C31" i="1" s="1"/>
  <c r="D30" i="1"/>
  <c r="B32" i="1" l="1"/>
  <c r="C32" i="1" s="1"/>
  <c r="D31" i="1"/>
  <c r="B33" i="1" l="1"/>
  <c r="C33" i="1" s="1"/>
  <c r="D32" i="1"/>
  <c r="B34" i="1" l="1"/>
  <c r="C34" i="1" s="1"/>
  <c r="D33" i="1"/>
  <c r="B35" i="1" l="1"/>
  <c r="C35" i="1" s="1"/>
  <c r="D34" i="1"/>
  <c r="B36" i="1" l="1"/>
  <c r="C36" i="1" s="1"/>
  <c r="D35" i="1"/>
  <c r="B37" i="1" l="1"/>
  <c r="C37" i="1" s="1"/>
  <c r="D36" i="1"/>
  <c r="B38" i="1" l="1"/>
  <c r="C38" i="1" s="1"/>
  <c r="D37" i="1"/>
  <c r="B39" i="1" l="1"/>
  <c r="C39" i="1" s="1"/>
  <c r="D38" i="1"/>
  <c r="B40" i="1" l="1"/>
  <c r="C40" i="1" s="1"/>
  <c r="D39" i="1"/>
  <c r="B41" i="1" l="1"/>
  <c r="C41" i="1" s="1"/>
  <c r="D40" i="1"/>
  <c r="B42" i="1" l="1"/>
  <c r="C42" i="1" s="1"/>
  <c r="D41" i="1"/>
  <c r="B43" i="1" l="1"/>
  <c r="C43" i="1" s="1"/>
  <c r="D42" i="1"/>
  <c r="B44" i="1" l="1"/>
  <c r="C44" i="1" s="1"/>
  <c r="D43" i="1"/>
  <c r="B45" i="1" l="1"/>
  <c r="C45" i="1" s="1"/>
  <c r="D44" i="1"/>
  <c r="B46" i="1" l="1"/>
  <c r="C46" i="1" s="1"/>
  <c r="D45" i="1"/>
  <c r="B47" i="1" l="1"/>
  <c r="C47" i="1" s="1"/>
  <c r="D46" i="1"/>
  <c r="B48" i="1" l="1"/>
  <c r="C48" i="1" s="1"/>
  <c r="D47" i="1"/>
  <c r="B49" i="1" l="1"/>
  <c r="C49" i="1" s="1"/>
  <c r="D48" i="1"/>
  <c r="B50" i="1" l="1"/>
  <c r="C50" i="1" s="1"/>
  <c r="D49" i="1"/>
  <c r="B51" i="1" l="1"/>
  <c r="C51" i="1" s="1"/>
  <c r="D50" i="1"/>
  <c r="B52" i="1" l="1"/>
  <c r="C52" i="1" s="1"/>
  <c r="D51" i="1"/>
  <c r="B53" i="1" l="1"/>
  <c r="C53" i="1" s="1"/>
  <c r="D52" i="1"/>
  <c r="B54" i="1" l="1"/>
  <c r="C54" i="1" s="1"/>
  <c r="D53" i="1"/>
  <c r="B55" i="1" l="1"/>
  <c r="C55" i="1" s="1"/>
  <c r="D54" i="1"/>
  <c r="B56" i="1" l="1"/>
  <c r="C56" i="1" s="1"/>
  <c r="D55" i="1"/>
  <c r="B57" i="1" l="1"/>
  <c r="C57" i="1" s="1"/>
  <c r="D56" i="1"/>
  <c r="B58" i="1" l="1"/>
  <c r="C58" i="1" s="1"/>
  <c r="D57" i="1"/>
  <c r="B59" i="1" l="1"/>
  <c r="C59" i="1" s="1"/>
  <c r="D58" i="1"/>
  <c r="B60" i="1" l="1"/>
  <c r="C60" i="1" s="1"/>
  <c r="D59" i="1"/>
  <c r="B61" i="1" l="1"/>
  <c r="C61" i="1" s="1"/>
  <c r="D60" i="1"/>
  <c r="B62" i="1" l="1"/>
  <c r="C62" i="1" s="1"/>
  <c r="D61" i="1"/>
  <c r="B63" i="1" l="1"/>
  <c r="C63" i="1" s="1"/>
  <c r="D62" i="1"/>
  <c r="B64" i="1" l="1"/>
  <c r="C64" i="1" s="1"/>
  <c r="D63" i="1"/>
  <c r="B65" i="1" l="1"/>
  <c r="C65" i="1" s="1"/>
  <c r="D64" i="1"/>
  <c r="B66" i="1" l="1"/>
  <c r="C66" i="1" s="1"/>
  <c r="D65" i="1"/>
  <c r="B67" i="1" l="1"/>
  <c r="C67" i="1" s="1"/>
  <c r="D66" i="1"/>
  <c r="B68" i="1" l="1"/>
  <c r="C68" i="1" s="1"/>
  <c r="D67" i="1"/>
  <c r="B69" i="1" l="1"/>
  <c r="C69" i="1" s="1"/>
  <c r="D68" i="1"/>
  <c r="B70" i="1" l="1"/>
  <c r="C70" i="1" s="1"/>
  <c r="D69" i="1"/>
  <c r="B71" i="1" l="1"/>
  <c r="C71" i="1" s="1"/>
  <c r="D70" i="1"/>
  <c r="B72" i="1" l="1"/>
  <c r="C72" i="1" s="1"/>
  <c r="D71" i="1"/>
  <c r="B73" i="1" l="1"/>
  <c r="C73" i="1" s="1"/>
  <c r="D72" i="1"/>
  <c r="B74" i="1" l="1"/>
  <c r="C74" i="1" s="1"/>
  <c r="D73" i="1"/>
  <c r="B75" i="1" l="1"/>
  <c r="C75" i="1" s="1"/>
  <c r="D74" i="1"/>
  <c r="B76" i="1" l="1"/>
  <c r="C76" i="1" s="1"/>
  <c r="D75" i="1"/>
  <c r="B77" i="1" l="1"/>
  <c r="C77" i="1" s="1"/>
  <c r="D76" i="1"/>
  <c r="B78" i="1" l="1"/>
  <c r="C78" i="1" s="1"/>
  <c r="D77" i="1"/>
  <c r="B79" i="1" l="1"/>
  <c r="C79" i="1" s="1"/>
  <c r="D78" i="1"/>
  <c r="B80" i="1" l="1"/>
  <c r="C80" i="1" s="1"/>
  <c r="D79" i="1"/>
  <c r="B81" i="1" l="1"/>
  <c r="C81" i="1" s="1"/>
  <c r="D80" i="1"/>
  <c r="B82" i="1" l="1"/>
  <c r="C82" i="1" s="1"/>
  <c r="D81" i="1"/>
  <c r="B83" i="1" l="1"/>
  <c r="C83" i="1" s="1"/>
  <c r="D82" i="1"/>
  <c r="B84" i="1" l="1"/>
  <c r="C84" i="1" s="1"/>
  <c r="D83" i="1"/>
  <c r="B85" i="1" l="1"/>
  <c r="C85" i="1" s="1"/>
  <c r="D84" i="1"/>
  <c r="B86" i="1" l="1"/>
  <c r="C86" i="1" s="1"/>
  <c r="D85" i="1"/>
  <c r="B87" i="1" l="1"/>
  <c r="C87" i="1" s="1"/>
  <c r="D86" i="1"/>
  <c r="B88" i="1" l="1"/>
  <c r="C88" i="1" s="1"/>
  <c r="D87" i="1"/>
  <c r="B89" i="1" l="1"/>
  <c r="C89" i="1" s="1"/>
  <c r="D88" i="1"/>
  <c r="B90" i="1" l="1"/>
  <c r="C90" i="1" s="1"/>
  <c r="D89" i="1"/>
  <c r="B91" i="1" l="1"/>
  <c r="C91" i="1" s="1"/>
  <c r="D90" i="1"/>
  <c r="B92" i="1" l="1"/>
  <c r="C92" i="1" s="1"/>
  <c r="D91" i="1"/>
  <c r="B93" i="1" l="1"/>
  <c r="C93" i="1" s="1"/>
  <c r="D92" i="1"/>
  <c r="B94" i="1" l="1"/>
  <c r="C94" i="1" s="1"/>
  <c r="D93" i="1"/>
  <c r="B95" i="1" l="1"/>
  <c r="C95" i="1" s="1"/>
  <c r="D94" i="1"/>
  <c r="B96" i="1" l="1"/>
  <c r="C96" i="1" s="1"/>
  <c r="D95" i="1"/>
  <c r="B97" i="1" l="1"/>
  <c r="C97" i="1" s="1"/>
  <c r="D96" i="1"/>
  <c r="B98" i="1" l="1"/>
  <c r="C98" i="1" s="1"/>
  <c r="D97" i="1"/>
  <c r="B99" i="1" l="1"/>
  <c r="C99" i="1" s="1"/>
  <c r="D98" i="1"/>
  <c r="B100" i="1" l="1"/>
  <c r="C100" i="1" s="1"/>
  <c r="D99" i="1"/>
  <c r="B101" i="1" l="1"/>
  <c r="C101" i="1" s="1"/>
  <c r="D100" i="1"/>
  <c r="B102" i="1" l="1"/>
  <c r="C102" i="1" s="1"/>
  <c r="D101" i="1"/>
  <c r="B103" i="1" l="1"/>
  <c r="C103" i="1" s="1"/>
  <c r="D102" i="1"/>
  <c r="B104" i="1" l="1"/>
  <c r="C104" i="1" s="1"/>
  <c r="D104" i="1" s="1"/>
  <c r="D103" i="1"/>
</calcChain>
</file>

<file path=xl/sharedStrings.xml><?xml version="1.0" encoding="utf-8"?>
<sst xmlns="http://schemas.openxmlformats.org/spreadsheetml/2006/main" count="14" uniqueCount="14">
  <si>
    <t>А=</t>
  </si>
  <si>
    <t>В=</t>
  </si>
  <si>
    <t>М=</t>
  </si>
  <si>
    <t>№</t>
  </si>
  <si>
    <t>yi-1</t>
  </si>
  <si>
    <t>y</t>
  </si>
  <si>
    <t>zi</t>
  </si>
  <si>
    <t>Расп.по показ. закону</t>
  </si>
  <si>
    <t>Расп.по закону Релея</t>
  </si>
  <si>
    <t>мат.ож</t>
  </si>
  <si>
    <t>дисп</t>
  </si>
  <si>
    <t>Смоделированная случайная величина по нормальному закону:</t>
  </si>
  <si>
    <t>самостоятельное</t>
  </si>
  <si>
    <t xml:space="preserve">Расп.по равномер. закону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</si>
</sst>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0" xfId="0" applyFont="1" applyFill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right"/>
    </xf>
    <xf numFmtId="0" fontId="0" fillId="0" borderId="1" xfId="0" applyFont="1" applyBorder="1"/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5771-7A7F-440B-9B78-B46BC4E76A76}">
  <dimension ref="A2:O104"/>
  <sheetViews>
    <sheetView tabSelected="1" workbookViewId="0">
      <selection activeCell="O8" sqref="O8"/>
    </sheetView>
  </sheetViews>
  <sheetFormatPr defaultRowHeight="15" x14ac:dyDescent="0.25"/>
  <cols>
    <col min="7" max="7" width="18.7109375" bestFit="1" customWidth="1"/>
    <col min="8" max="8" width="15.7109375" customWidth="1"/>
    <col min="9" max="9" width="11" customWidth="1"/>
    <col min="11" max="11" width="17" bestFit="1" customWidth="1"/>
    <col min="12" max="12" width="12" bestFit="1" customWidth="1"/>
    <col min="13" max="13" width="7.42578125" bestFit="1" customWidth="1"/>
    <col min="15" max="15" width="22.5703125" bestFit="1" customWidth="1"/>
  </cols>
  <sheetData>
    <row r="2" spans="1:15" x14ac:dyDescent="0.25">
      <c r="B2" s="5" t="s">
        <v>0</v>
      </c>
      <c r="C2" s="6">
        <v>4.5</v>
      </c>
      <c r="D2" s="5" t="s">
        <v>1</v>
      </c>
      <c r="E2" s="6">
        <v>23</v>
      </c>
      <c r="F2" s="5" t="s">
        <v>2</v>
      </c>
      <c r="G2" s="6">
        <v>87</v>
      </c>
      <c r="K2" t="s">
        <v>12</v>
      </c>
      <c r="M2" t="s">
        <v>9</v>
      </c>
      <c r="N2">
        <v>1</v>
      </c>
    </row>
    <row r="3" spans="1:15" ht="45" x14ac:dyDescent="0.25">
      <c r="H3" s="7" t="s">
        <v>13</v>
      </c>
      <c r="I3" s="7" t="s">
        <v>7</v>
      </c>
      <c r="J3" s="7" t="s">
        <v>8</v>
      </c>
      <c r="M3" t="s">
        <v>10</v>
      </c>
      <c r="N3">
        <v>9</v>
      </c>
      <c r="O3" s="1" t="s">
        <v>11</v>
      </c>
    </row>
    <row r="4" spans="1:15" x14ac:dyDescent="0.25">
      <c r="A4" s="4" t="s">
        <v>3</v>
      </c>
      <c r="B4" s="4" t="s">
        <v>4</v>
      </c>
      <c r="C4" s="4" t="s">
        <v>5</v>
      </c>
      <c r="D4" s="4" t="s">
        <v>6</v>
      </c>
      <c r="H4" s="2">
        <f>(7-3)*D5+3</f>
        <v>4.6976744186046506</v>
      </c>
      <c r="I4" s="2">
        <f>-(LN(D5)/8)</f>
        <v>0.10712937945813275</v>
      </c>
      <c r="J4" s="2">
        <f>-2*3*LN(D5)</f>
        <v>5.1422102139903725</v>
      </c>
      <c r="K4">
        <v>1</v>
      </c>
      <c r="L4">
        <f ca="1">RAND()</f>
        <v>0.99970413209256614</v>
      </c>
      <c r="O4" s="3">
        <f ca="1">N2+SQRT(N3)*(L16-K15/2)</f>
        <v>2.9109309913166364</v>
      </c>
    </row>
    <row r="5" spans="1:15" x14ac:dyDescent="0.25">
      <c r="A5" s="2">
        <v>1</v>
      </c>
      <c r="B5" s="2">
        <v>3</v>
      </c>
      <c r="C5" s="2">
        <f>MOD(($C$2*B5+$E$2),$G$2)</f>
        <v>36.5</v>
      </c>
      <c r="D5" s="2">
        <f>C5/($G$2-1)</f>
        <v>0.42441860465116277</v>
      </c>
      <c r="H5" s="2">
        <f t="shared" ref="H5:H7" si="0">(7-3)*D6+3</f>
        <v>3.6162790697674421</v>
      </c>
      <c r="I5" s="2">
        <f t="shared" ref="I5:I7" si="1">-(LN(D6)/8)</f>
        <v>0.23379371797765958</v>
      </c>
      <c r="J5" s="2">
        <f t="shared" ref="J5:J7" si="2">-2*3*LN(D6)</f>
        <v>11.22209846292766</v>
      </c>
      <c r="K5">
        <v>2</v>
      </c>
      <c r="L5">
        <f t="shared" ref="L5:L15" ca="1" si="3">RAND()</f>
        <v>0.69032234635684153</v>
      </c>
    </row>
    <row r="6" spans="1:15" x14ac:dyDescent="0.25">
      <c r="A6" s="2">
        <v>2</v>
      </c>
      <c r="B6" s="2">
        <f>C5</f>
        <v>36.5</v>
      </c>
      <c r="C6" s="2">
        <f t="shared" ref="C6:C69" si="4">MOD(($C$2*B6+$E$2),$G$2)</f>
        <v>13.25</v>
      </c>
      <c r="D6" s="2">
        <f t="shared" ref="D6:D69" si="5">C6/($G$2-1)</f>
        <v>0.15406976744186046</v>
      </c>
      <c r="H6" s="2">
        <f t="shared" si="0"/>
        <v>6.8430232558139537</v>
      </c>
      <c r="I6" s="2">
        <f t="shared" si="1"/>
        <v>5.0043747602071661E-3</v>
      </c>
      <c r="J6" s="2">
        <f t="shared" si="2"/>
        <v>0.24020998848994396</v>
      </c>
      <c r="K6">
        <v>3</v>
      </c>
      <c r="L6">
        <f t="shared" ca="1" si="3"/>
        <v>0.13493867487039568</v>
      </c>
    </row>
    <row r="7" spans="1:15" x14ac:dyDescent="0.25">
      <c r="A7" s="2">
        <v>3</v>
      </c>
      <c r="B7" s="2">
        <f t="shared" ref="B7:B70" si="6">C6</f>
        <v>13.25</v>
      </c>
      <c r="C7" s="2">
        <f t="shared" si="4"/>
        <v>82.625</v>
      </c>
      <c r="D7" s="2">
        <f t="shared" si="5"/>
        <v>0.96075581395348841</v>
      </c>
      <c r="H7" s="2">
        <f t="shared" si="0"/>
        <v>5.1773255813953494</v>
      </c>
      <c r="I7" s="2">
        <f t="shared" si="1"/>
        <v>7.6024629372008684E-2</v>
      </c>
      <c r="J7" s="2">
        <f t="shared" si="2"/>
        <v>3.6491822098564168</v>
      </c>
      <c r="K7">
        <v>4</v>
      </c>
      <c r="L7">
        <f t="shared" ca="1" si="3"/>
        <v>0.25224340521855682</v>
      </c>
    </row>
    <row r="8" spans="1:15" x14ac:dyDescent="0.25">
      <c r="A8" s="2">
        <v>4</v>
      </c>
      <c r="B8" s="2">
        <f t="shared" si="6"/>
        <v>82.625</v>
      </c>
      <c r="C8" s="2">
        <f t="shared" si="4"/>
        <v>46.8125</v>
      </c>
      <c r="D8" s="2">
        <f t="shared" si="5"/>
        <v>0.54433139534883723</v>
      </c>
      <c r="K8">
        <v>5</v>
      </c>
      <c r="L8">
        <f t="shared" ca="1" si="3"/>
        <v>0.85686335782467826</v>
      </c>
    </row>
    <row r="9" spans="1:15" x14ac:dyDescent="0.25">
      <c r="A9" s="2">
        <v>5</v>
      </c>
      <c r="B9" s="2">
        <f t="shared" si="6"/>
        <v>46.8125</v>
      </c>
      <c r="C9" s="2">
        <f t="shared" si="4"/>
        <v>59.65625</v>
      </c>
      <c r="D9" s="2">
        <f t="shared" si="5"/>
        <v>0.69367732558139539</v>
      </c>
      <c r="K9">
        <v>6</v>
      </c>
      <c r="L9">
        <f t="shared" ca="1" si="3"/>
        <v>0.87308509208372642</v>
      </c>
    </row>
    <row r="10" spans="1:15" x14ac:dyDescent="0.25">
      <c r="A10" s="2">
        <v>6</v>
      </c>
      <c r="B10" s="2">
        <f t="shared" si="6"/>
        <v>59.65625</v>
      </c>
      <c r="C10" s="2">
        <f t="shared" si="4"/>
        <v>30.453125</v>
      </c>
      <c r="D10" s="2">
        <f t="shared" si="5"/>
        <v>0.35410610465116277</v>
      </c>
      <c r="K10">
        <v>7</v>
      </c>
      <c r="L10">
        <f t="shared" ca="1" si="3"/>
        <v>0.51073318592146566</v>
      </c>
    </row>
    <row r="11" spans="1:15" x14ac:dyDescent="0.25">
      <c r="A11" s="2">
        <v>7</v>
      </c>
      <c r="B11" s="2">
        <f t="shared" si="6"/>
        <v>30.453125</v>
      </c>
      <c r="C11" s="2">
        <f t="shared" si="4"/>
        <v>73.0390625</v>
      </c>
      <c r="D11" s="2">
        <f t="shared" si="5"/>
        <v>0.84929142441860461</v>
      </c>
      <c r="K11">
        <v>8</v>
      </c>
      <c r="L11">
        <f t="shared" ca="1" si="3"/>
        <v>0.73823665068568867</v>
      </c>
    </row>
    <row r="12" spans="1:15" x14ac:dyDescent="0.25">
      <c r="A12" s="2">
        <v>8</v>
      </c>
      <c r="B12" s="2">
        <f t="shared" si="6"/>
        <v>73.0390625</v>
      </c>
      <c r="C12" s="2">
        <f t="shared" si="4"/>
        <v>3.67578125</v>
      </c>
      <c r="D12" s="2">
        <f t="shared" si="5"/>
        <v>4.2741642441860468E-2</v>
      </c>
      <c r="K12">
        <v>9</v>
      </c>
      <c r="L12">
        <f t="shared" ca="1" si="3"/>
        <v>0.15834010214720562</v>
      </c>
    </row>
    <row r="13" spans="1:15" x14ac:dyDescent="0.25">
      <c r="A13" s="2">
        <v>9</v>
      </c>
      <c r="B13" s="2">
        <f t="shared" si="6"/>
        <v>3.67578125</v>
      </c>
      <c r="C13" s="2">
        <f t="shared" si="4"/>
        <v>39.541015625</v>
      </c>
      <c r="D13" s="2">
        <f t="shared" si="5"/>
        <v>0.45977925145348836</v>
      </c>
      <c r="K13">
        <v>10</v>
      </c>
      <c r="L13">
        <f t="shared" ca="1" si="3"/>
        <v>7.1497686176004827E-2</v>
      </c>
    </row>
    <row r="14" spans="1:15" x14ac:dyDescent="0.25">
      <c r="A14" s="2">
        <v>10</v>
      </c>
      <c r="B14" s="2">
        <f t="shared" si="6"/>
        <v>39.541015625</v>
      </c>
      <c r="C14" s="2">
        <f t="shared" si="4"/>
        <v>26.9345703125</v>
      </c>
      <c r="D14" s="2">
        <f t="shared" si="5"/>
        <v>0.31319267805232559</v>
      </c>
      <c r="K14">
        <v>11</v>
      </c>
      <c r="L14">
        <f t="shared" ca="1" si="3"/>
        <v>0.81693706796110965</v>
      </c>
    </row>
    <row r="15" spans="1:15" x14ac:dyDescent="0.25">
      <c r="A15" s="2">
        <v>11</v>
      </c>
      <c r="B15" s="2">
        <f t="shared" si="6"/>
        <v>26.9345703125</v>
      </c>
      <c r="C15" s="2">
        <f t="shared" si="4"/>
        <v>57.20556640625</v>
      </c>
      <c r="D15" s="2">
        <f t="shared" si="5"/>
        <v>0.66518100472383723</v>
      </c>
      <c r="K15">
        <v>12</v>
      </c>
      <c r="L15">
        <f t="shared" ca="1" si="3"/>
        <v>0.53407529576730584</v>
      </c>
    </row>
    <row r="16" spans="1:15" x14ac:dyDescent="0.25">
      <c r="A16" s="2">
        <v>12</v>
      </c>
      <c r="B16" s="2">
        <f t="shared" si="6"/>
        <v>57.20556640625</v>
      </c>
      <c r="C16" s="2">
        <f t="shared" si="4"/>
        <v>19.425048828125</v>
      </c>
      <c r="D16" s="2">
        <f t="shared" si="5"/>
        <v>0.22587266079215115</v>
      </c>
      <c r="L16">
        <f ca="1">SUM(L4:L15)</f>
        <v>6.6369769971055455</v>
      </c>
    </row>
    <row r="17" spans="1:4" x14ac:dyDescent="0.25">
      <c r="A17" s="2">
        <v>13</v>
      </c>
      <c r="B17" s="2">
        <f t="shared" si="6"/>
        <v>19.425048828125</v>
      </c>
      <c r="C17" s="2">
        <f t="shared" si="4"/>
        <v>23.4127197265625</v>
      </c>
      <c r="D17" s="2">
        <f t="shared" si="5"/>
        <v>0.27224092705305231</v>
      </c>
    </row>
    <row r="18" spans="1:4" x14ac:dyDescent="0.25">
      <c r="A18" s="2">
        <v>14</v>
      </c>
      <c r="B18" s="2">
        <f t="shared" si="6"/>
        <v>23.4127197265625</v>
      </c>
      <c r="C18" s="2">
        <f t="shared" si="4"/>
        <v>41.35723876953125</v>
      </c>
      <c r="D18" s="2">
        <f t="shared" si="5"/>
        <v>0.48089812522710756</v>
      </c>
    </row>
    <row r="19" spans="1:4" x14ac:dyDescent="0.25">
      <c r="A19" s="2">
        <v>15</v>
      </c>
      <c r="B19" s="2">
        <f t="shared" si="6"/>
        <v>41.35723876953125</v>
      </c>
      <c r="C19" s="2">
        <f t="shared" si="4"/>
        <v>35.107574462890625</v>
      </c>
      <c r="D19" s="2">
        <f t="shared" si="5"/>
        <v>0.40822761003361191</v>
      </c>
    </row>
    <row r="20" spans="1:4" x14ac:dyDescent="0.25">
      <c r="A20" s="2">
        <v>16</v>
      </c>
      <c r="B20" s="2">
        <f t="shared" si="6"/>
        <v>35.107574462890625</v>
      </c>
      <c r="C20" s="2">
        <f t="shared" si="4"/>
        <v>6.9840850830078125</v>
      </c>
      <c r="D20" s="2">
        <f t="shared" si="5"/>
        <v>8.1210291662881545E-2</v>
      </c>
    </row>
    <row r="21" spans="1:4" x14ac:dyDescent="0.25">
      <c r="A21" s="2">
        <v>17</v>
      </c>
      <c r="B21" s="2">
        <f t="shared" si="6"/>
        <v>6.9840850830078125</v>
      </c>
      <c r="C21" s="2">
        <f t="shared" si="4"/>
        <v>54.428382873535156</v>
      </c>
      <c r="D21" s="2">
        <f t="shared" si="5"/>
        <v>0.63288817294808319</v>
      </c>
    </row>
    <row r="22" spans="1:4" x14ac:dyDescent="0.25">
      <c r="A22" s="2">
        <v>18</v>
      </c>
      <c r="B22" s="2">
        <f t="shared" si="6"/>
        <v>54.428382873535156</v>
      </c>
      <c r="C22" s="2">
        <f t="shared" si="4"/>
        <v>6.9277229309082031</v>
      </c>
      <c r="D22" s="2">
        <f t="shared" si="5"/>
        <v>8.0554917801258175E-2</v>
      </c>
    </row>
    <row r="23" spans="1:4" x14ac:dyDescent="0.25">
      <c r="A23" s="2">
        <v>19</v>
      </c>
      <c r="B23" s="2">
        <f t="shared" si="6"/>
        <v>6.9277229309082031</v>
      </c>
      <c r="C23" s="2">
        <f t="shared" si="4"/>
        <v>54.174753189086914</v>
      </c>
      <c r="D23" s="2">
        <f t="shared" si="5"/>
        <v>0.62993899057077807</v>
      </c>
    </row>
    <row r="24" spans="1:4" x14ac:dyDescent="0.25">
      <c r="A24" s="2">
        <v>20</v>
      </c>
      <c r="B24" s="2">
        <f t="shared" si="6"/>
        <v>54.174753189086914</v>
      </c>
      <c r="C24" s="2">
        <f t="shared" si="4"/>
        <v>5.7863893508911133</v>
      </c>
      <c r="D24" s="2">
        <f t="shared" si="5"/>
        <v>6.7283597103385037E-2</v>
      </c>
    </row>
    <row r="25" spans="1:4" x14ac:dyDescent="0.25">
      <c r="A25" s="2">
        <v>21</v>
      </c>
      <c r="B25" s="2">
        <f t="shared" si="6"/>
        <v>5.7863893508911133</v>
      </c>
      <c r="C25" s="2">
        <f t="shared" si="4"/>
        <v>49.03875207901001</v>
      </c>
      <c r="D25" s="2">
        <f t="shared" si="5"/>
        <v>0.57021804743034898</v>
      </c>
    </row>
    <row r="26" spans="1:4" x14ac:dyDescent="0.25">
      <c r="A26" s="2">
        <v>22</v>
      </c>
      <c r="B26" s="2">
        <f t="shared" si="6"/>
        <v>49.03875207901001</v>
      </c>
      <c r="C26" s="2">
        <f t="shared" si="4"/>
        <v>69.674384355545044</v>
      </c>
      <c r="D26" s="2">
        <f t="shared" si="5"/>
        <v>0.81016725994819816</v>
      </c>
    </row>
    <row r="27" spans="1:4" x14ac:dyDescent="0.25">
      <c r="A27" s="2">
        <v>23</v>
      </c>
      <c r="B27" s="2">
        <f t="shared" si="6"/>
        <v>69.674384355545044</v>
      </c>
      <c r="C27" s="2">
        <f t="shared" si="4"/>
        <v>75.534729599952698</v>
      </c>
      <c r="D27" s="2">
        <f t="shared" si="5"/>
        <v>0.87831080930177552</v>
      </c>
    </row>
    <row r="28" spans="1:4" x14ac:dyDescent="0.25">
      <c r="A28" s="2">
        <v>24</v>
      </c>
      <c r="B28" s="2">
        <f t="shared" si="6"/>
        <v>75.534729599952698</v>
      </c>
      <c r="C28" s="2">
        <f t="shared" si="4"/>
        <v>14.90628319978714</v>
      </c>
      <c r="D28" s="2">
        <f t="shared" si="5"/>
        <v>0.17332887441612954</v>
      </c>
    </row>
    <row r="29" spans="1:4" x14ac:dyDescent="0.25">
      <c r="A29" s="2">
        <v>25</v>
      </c>
      <c r="B29" s="2">
        <f t="shared" si="6"/>
        <v>14.90628319978714</v>
      </c>
      <c r="C29" s="2">
        <f t="shared" si="4"/>
        <v>3.0782743990421295</v>
      </c>
      <c r="D29" s="2">
        <f t="shared" si="5"/>
        <v>3.5793888360954991E-2</v>
      </c>
    </row>
    <row r="30" spans="1:4" x14ac:dyDescent="0.25">
      <c r="A30" s="2">
        <v>26</v>
      </c>
      <c r="B30" s="2">
        <f t="shared" si="6"/>
        <v>3.0782743990421295</v>
      </c>
      <c r="C30" s="2">
        <f t="shared" si="4"/>
        <v>36.852234795689583</v>
      </c>
      <c r="D30" s="2">
        <f t="shared" si="5"/>
        <v>0.42851435808941374</v>
      </c>
    </row>
    <row r="31" spans="1:4" x14ac:dyDescent="0.25">
      <c r="A31" s="2">
        <v>27</v>
      </c>
      <c r="B31" s="2">
        <f t="shared" si="6"/>
        <v>36.852234795689583</v>
      </c>
      <c r="C31" s="2">
        <f t="shared" si="4"/>
        <v>14.835056580603123</v>
      </c>
      <c r="D31" s="2">
        <f t="shared" si="5"/>
        <v>0.1725006579139898</v>
      </c>
    </row>
    <row r="32" spans="1:4" x14ac:dyDescent="0.25">
      <c r="A32" s="2">
        <v>28</v>
      </c>
      <c r="B32" s="2">
        <f t="shared" si="6"/>
        <v>14.835056580603123</v>
      </c>
      <c r="C32" s="2">
        <f t="shared" si="4"/>
        <v>2.7577546127140522</v>
      </c>
      <c r="D32" s="2">
        <f t="shared" si="5"/>
        <v>3.2066914101326185E-2</v>
      </c>
    </row>
    <row r="33" spans="1:4" x14ac:dyDescent="0.25">
      <c r="A33" s="2">
        <v>29</v>
      </c>
      <c r="B33" s="2">
        <f t="shared" si="6"/>
        <v>2.7577546127140522</v>
      </c>
      <c r="C33" s="2">
        <f t="shared" si="4"/>
        <v>35.409895757213235</v>
      </c>
      <c r="D33" s="2">
        <f t="shared" si="5"/>
        <v>0.41174297392108411</v>
      </c>
    </row>
    <row r="34" spans="1:4" x14ac:dyDescent="0.25">
      <c r="A34" s="2">
        <v>30</v>
      </c>
      <c r="B34" s="2">
        <f t="shared" si="6"/>
        <v>35.409895757213235</v>
      </c>
      <c r="C34" s="2">
        <f t="shared" si="4"/>
        <v>8.3445309074595571</v>
      </c>
      <c r="D34" s="2">
        <f t="shared" si="5"/>
        <v>9.7029429156506475E-2</v>
      </c>
    </row>
    <row r="35" spans="1:4" x14ac:dyDescent="0.25">
      <c r="A35" s="2">
        <v>31</v>
      </c>
      <c r="B35" s="2">
        <f t="shared" si="6"/>
        <v>8.3445309074595571</v>
      </c>
      <c r="C35" s="2">
        <f t="shared" si="4"/>
        <v>60.550389083568007</v>
      </c>
      <c r="D35" s="2">
        <f t="shared" si="5"/>
        <v>0.70407429166939539</v>
      </c>
    </row>
    <row r="36" spans="1:4" x14ac:dyDescent="0.25">
      <c r="A36" s="2">
        <v>32</v>
      </c>
      <c r="B36" s="2">
        <f t="shared" si="6"/>
        <v>60.550389083568007</v>
      </c>
      <c r="C36" s="2">
        <f t="shared" si="4"/>
        <v>34.47675087605603</v>
      </c>
      <c r="D36" s="2">
        <f t="shared" si="5"/>
        <v>0.40089245204716312</v>
      </c>
    </row>
    <row r="37" spans="1:4" x14ac:dyDescent="0.25">
      <c r="A37" s="2">
        <v>33</v>
      </c>
      <c r="B37" s="2">
        <f t="shared" si="6"/>
        <v>34.47675087605603</v>
      </c>
      <c r="C37" s="2">
        <f t="shared" si="4"/>
        <v>4.1453789422521368</v>
      </c>
      <c r="D37" s="2">
        <f t="shared" si="5"/>
        <v>4.8202080723862055E-2</v>
      </c>
    </row>
    <row r="38" spans="1:4" x14ac:dyDescent="0.25">
      <c r="A38" s="2">
        <v>34</v>
      </c>
      <c r="B38" s="2">
        <f t="shared" si="6"/>
        <v>4.1453789422521368</v>
      </c>
      <c r="C38" s="2">
        <f t="shared" si="4"/>
        <v>41.654205240134615</v>
      </c>
      <c r="D38" s="2">
        <f t="shared" si="5"/>
        <v>0.48435122372249551</v>
      </c>
    </row>
    <row r="39" spans="1:4" x14ac:dyDescent="0.25">
      <c r="A39" s="2">
        <v>35</v>
      </c>
      <c r="B39" s="2">
        <f t="shared" si="6"/>
        <v>41.654205240134615</v>
      </c>
      <c r="C39" s="2">
        <f t="shared" si="4"/>
        <v>36.44392358060577</v>
      </c>
      <c r="D39" s="2">
        <f t="shared" si="5"/>
        <v>0.42376655326285778</v>
      </c>
    </row>
    <row r="40" spans="1:4" x14ac:dyDescent="0.25">
      <c r="A40" s="2">
        <v>36</v>
      </c>
      <c r="B40" s="2">
        <f t="shared" si="6"/>
        <v>36.44392358060577</v>
      </c>
      <c r="C40" s="2">
        <f t="shared" si="4"/>
        <v>12.997656112725963</v>
      </c>
      <c r="D40" s="2">
        <f t="shared" si="5"/>
        <v>0.15113553619448794</v>
      </c>
    </row>
    <row r="41" spans="1:4" x14ac:dyDescent="0.25">
      <c r="A41" s="2">
        <v>37</v>
      </c>
      <c r="B41" s="2">
        <f t="shared" si="6"/>
        <v>12.997656112725963</v>
      </c>
      <c r="C41" s="2">
        <f t="shared" si="4"/>
        <v>81.489452507266833</v>
      </c>
      <c r="D41" s="2">
        <f t="shared" si="5"/>
        <v>0.94755177334031204</v>
      </c>
    </row>
    <row r="42" spans="1:4" x14ac:dyDescent="0.25">
      <c r="A42" s="2">
        <v>38</v>
      </c>
      <c r="B42" s="2">
        <f t="shared" si="6"/>
        <v>81.489452507266833</v>
      </c>
      <c r="C42" s="2">
        <f t="shared" si="4"/>
        <v>41.702536282700748</v>
      </c>
      <c r="D42" s="2">
        <f t="shared" si="5"/>
        <v>0.48491321258954356</v>
      </c>
    </row>
    <row r="43" spans="1:4" x14ac:dyDescent="0.25">
      <c r="A43" s="2">
        <v>39</v>
      </c>
      <c r="B43" s="2">
        <f t="shared" si="6"/>
        <v>41.702536282700748</v>
      </c>
      <c r="C43" s="2">
        <f t="shared" si="4"/>
        <v>36.661413272153368</v>
      </c>
      <c r="D43" s="2">
        <f t="shared" si="5"/>
        <v>0.42629550316457404</v>
      </c>
    </row>
    <row r="44" spans="1:4" x14ac:dyDescent="0.25">
      <c r="A44" s="2">
        <v>40</v>
      </c>
      <c r="B44" s="2">
        <f t="shared" si="6"/>
        <v>36.661413272153368</v>
      </c>
      <c r="C44" s="2">
        <f t="shared" si="4"/>
        <v>13.976359724690155</v>
      </c>
      <c r="D44" s="2">
        <f t="shared" si="5"/>
        <v>0.16251581075221111</v>
      </c>
    </row>
    <row r="45" spans="1:4" x14ac:dyDescent="0.25">
      <c r="A45" s="2">
        <v>41</v>
      </c>
      <c r="B45" s="2">
        <f t="shared" si="6"/>
        <v>13.976359724690155</v>
      </c>
      <c r="C45" s="2">
        <f t="shared" si="4"/>
        <v>85.893618761105699</v>
      </c>
      <c r="D45" s="2">
        <f t="shared" si="5"/>
        <v>0.9987630088500663</v>
      </c>
    </row>
    <row r="46" spans="1:4" x14ac:dyDescent="0.25">
      <c r="A46" s="2">
        <v>42</v>
      </c>
      <c r="B46" s="2">
        <f t="shared" si="6"/>
        <v>85.893618761105699</v>
      </c>
      <c r="C46" s="2">
        <f t="shared" si="4"/>
        <v>61.521284424975647</v>
      </c>
      <c r="D46" s="2">
        <f t="shared" si="5"/>
        <v>0.71536377238343773</v>
      </c>
    </row>
    <row r="47" spans="1:4" x14ac:dyDescent="0.25">
      <c r="A47" s="2">
        <v>43</v>
      </c>
      <c r="B47" s="2">
        <f t="shared" si="6"/>
        <v>61.521284424975647</v>
      </c>
      <c r="C47" s="2">
        <f t="shared" si="4"/>
        <v>38.845779912390412</v>
      </c>
      <c r="D47" s="2">
        <f t="shared" si="5"/>
        <v>0.45169511526035361</v>
      </c>
    </row>
    <row r="48" spans="1:4" x14ac:dyDescent="0.25">
      <c r="A48" s="2">
        <v>44</v>
      </c>
      <c r="B48" s="2">
        <f t="shared" si="6"/>
        <v>38.845779912390412</v>
      </c>
      <c r="C48" s="2">
        <f t="shared" si="4"/>
        <v>23.806009605756856</v>
      </c>
      <c r="D48" s="2">
        <f t="shared" si="5"/>
        <v>0.27681406518321927</v>
      </c>
    </row>
    <row r="49" spans="1:4" x14ac:dyDescent="0.25">
      <c r="A49" s="2">
        <v>45</v>
      </c>
      <c r="B49" s="2">
        <f t="shared" si="6"/>
        <v>23.806009605756856</v>
      </c>
      <c r="C49" s="2">
        <f t="shared" si="4"/>
        <v>43.127043225905851</v>
      </c>
      <c r="D49" s="2">
        <f t="shared" si="5"/>
        <v>0.50147724681285877</v>
      </c>
    </row>
    <row r="50" spans="1:4" x14ac:dyDescent="0.25">
      <c r="A50" s="2">
        <v>46</v>
      </c>
      <c r="B50" s="2">
        <f t="shared" si="6"/>
        <v>43.127043225905851</v>
      </c>
      <c r="C50" s="2">
        <f t="shared" si="4"/>
        <v>43.071694516576315</v>
      </c>
      <c r="D50" s="2">
        <f t="shared" si="5"/>
        <v>0.50083365716949202</v>
      </c>
    </row>
    <row r="51" spans="1:4" x14ac:dyDescent="0.25">
      <c r="A51" s="2">
        <v>47</v>
      </c>
      <c r="B51" s="2">
        <f t="shared" si="6"/>
        <v>43.071694516576315</v>
      </c>
      <c r="C51" s="2">
        <f t="shared" si="4"/>
        <v>42.822625324593417</v>
      </c>
      <c r="D51" s="2">
        <f t="shared" si="5"/>
        <v>0.49793750377434204</v>
      </c>
    </row>
    <row r="52" spans="1:4" x14ac:dyDescent="0.25">
      <c r="A52" s="2">
        <v>48</v>
      </c>
      <c r="B52" s="2">
        <f t="shared" si="6"/>
        <v>42.822625324593417</v>
      </c>
      <c r="C52" s="2">
        <f t="shared" si="4"/>
        <v>41.701813960670393</v>
      </c>
      <c r="D52" s="2">
        <f t="shared" si="5"/>
        <v>0.48490481349616738</v>
      </c>
    </row>
    <row r="53" spans="1:4" x14ac:dyDescent="0.25">
      <c r="A53" s="2">
        <v>49</v>
      </c>
      <c r="B53" s="2">
        <f t="shared" si="6"/>
        <v>41.701813960670393</v>
      </c>
      <c r="C53" s="2">
        <f t="shared" si="4"/>
        <v>36.658162823016767</v>
      </c>
      <c r="D53" s="2">
        <f t="shared" si="5"/>
        <v>0.426257707244381</v>
      </c>
    </row>
    <row r="54" spans="1:4" x14ac:dyDescent="0.25">
      <c r="A54" s="2">
        <v>50</v>
      </c>
      <c r="B54" s="2">
        <f t="shared" si="6"/>
        <v>36.658162823016767</v>
      </c>
      <c r="C54" s="2">
        <f t="shared" si="4"/>
        <v>13.96173270357545</v>
      </c>
      <c r="D54" s="2">
        <f t="shared" si="5"/>
        <v>0.16234572911134243</v>
      </c>
    </row>
    <row r="55" spans="1:4" x14ac:dyDescent="0.25">
      <c r="A55" s="2">
        <v>51</v>
      </c>
      <c r="B55" s="2">
        <f t="shared" si="6"/>
        <v>13.96173270357545</v>
      </c>
      <c r="C55" s="2">
        <f t="shared" si="4"/>
        <v>85.827797166089525</v>
      </c>
      <c r="D55" s="2">
        <f t="shared" si="5"/>
        <v>0.99799764146615721</v>
      </c>
    </row>
    <row r="56" spans="1:4" x14ac:dyDescent="0.25">
      <c r="A56" s="2">
        <v>52</v>
      </c>
      <c r="B56" s="2">
        <f t="shared" si="6"/>
        <v>85.827797166089525</v>
      </c>
      <c r="C56" s="2">
        <f t="shared" si="4"/>
        <v>61.225087247402882</v>
      </c>
      <c r="D56" s="2">
        <f t="shared" si="5"/>
        <v>0.71191961915584745</v>
      </c>
    </row>
    <row r="57" spans="1:4" x14ac:dyDescent="0.25">
      <c r="A57" s="2">
        <v>53</v>
      </c>
      <c r="B57" s="2">
        <f t="shared" si="6"/>
        <v>61.225087247402882</v>
      </c>
      <c r="C57" s="2">
        <f t="shared" si="4"/>
        <v>37.512892613312943</v>
      </c>
      <c r="D57" s="2">
        <f t="shared" si="5"/>
        <v>0.43619642573619699</v>
      </c>
    </row>
    <row r="58" spans="1:4" x14ac:dyDescent="0.25">
      <c r="A58" s="2">
        <v>54</v>
      </c>
      <c r="B58" s="2">
        <f t="shared" si="6"/>
        <v>37.512892613312943</v>
      </c>
      <c r="C58" s="2">
        <f t="shared" si="4"/>
        <v>17.808016759908242</v>
      </c>
      <c r="D58" s="2">
        <f t="shared" si="5"/>
        <v>0.20706996232451444</v>
      </c>
    </row>
    <row r="59" spans="1:4" x14ac:dyDescent="0.25">
      <c r="A59" s="2">
        <v>55</v>
      </c>
      <c r="B59" s="2">
        <f t="shared" si="6"/>
        <v>17.808016759908242</v>
      </c>
      <c r="C59" s="2">
        <f t="shared" si="4"/>
        <v>16.136075419587087</v>
      </c>
      <c r="D59" s="2">
        <f t="shared" si="5"/>
        <v>0.18762878394868707</v>
      </c>
    </row>
    <row r="60" spans="1:4" x14ac:dyDescent="0.25">
      <c r="A60" s="2">
        <v>56</v>
      </c>
      <c r="B60" s="2">
        <f t="shared" si="6"/>
        <v>16.136075419587087</v>
      </c>
      <c r="C60" s="2">
        <f t="shared" si="4"/>
        <v>8.6123393881418906</v>
      </c>
      <c r="D60" s="2">
        <f t="shared" si="5"/>
        <v>0.10014348125746385</v>
      </c>
    </row>
    <row r="61" spans="1:4" x14ac:dyDescent="0.25">
      <c r="A61" s="2">
        <v>57</v>
      </c>
      <c r="B61" s="2">
        <f t="shared" si="6"/>
        <v>8.6123393881418906</v>
      </c>
      <c r="C61" s="2">
        <f t="shared" si="4"/>
        <v>61.755527246638508</v>
      </c>
      <c r="D61" s="2">
        <f t="shared" si="5"/>
        <v>0.71808752612370352</v>
      </c>
    </row>
    <row r="62" spans="1:4" x14ac:dyDescent="0.25">
      <c r="A62" s="2">
        <v>58</v>
      </c>
      <c r="B62" s="2">
        <f t="shared" si="6"/>
        <v>61.755527246638508</v>
      </c>
      <c r="C62" s="2">
        <f t="shared" si="4"/>
        <v>39.899872609873285</v>
      </c>
      <c r="D62" s="2">
        <f t="shared" si="5"/>
        <v>0.46395200709154982</v>
      </c>
    </row>
    <row r="63" spans="1:4" x14ac:dyDescent="0.25">
      <c r="A63" s="2">
        <v>59</v>
      </c>
      <c r="B63" s="2">
        <f t="shared" si="6"/>
        <v>39.899872609873285</v>
      </c>
      <c r="C63" s="2">
        <f t="shared" si="4"/>
        <v>28.54942674442978</v>
      </c>
      <c r="D63" s="2">
        <f t="shared" si="5"/>
        <v>0.3319700784236021</v>
      </c>
    </row>
    <row r="64" spans="1:4" x14ac:dyDescent="0.25">
      <c r="A64" s="2">
        <v>60</v>
      </c>
      <c r="B64" s="2">
        <f t="shared" si="6"/>
        <v>28.54942674442978</v>
      </c>
      <c r="C64" s="2">
        <f t="shared" si="4"/>
        <v>64.472420349933998</v>
      </c>
      <c r="D64" s="2">
        <f t="shared" si="5"/>
        <v>0.74967930639458136</v>
      </c>
    </row>
    <row r="65" spans="1:4" x14ac:dyDescent="0.25">
      <c r="A65" s="2">
        <v>61</v>
      </c>
      <c r="B65" s="2">
        <f t="shared" si="6"/>
        <v>64.472420349933998</v>
      </c>
      <c r="C65" s="2">
        <f t="shared" si="4"/>
        <v>52.125891574703019</v>
      </c>
      <c r="D65" s="2">
        <f t="shared" si="5"/>
        <v>0.60611501831050019</v>
      </c>
    </row>
    <row r="66" spans="1:4" x14ac:dyDescent="0.25">
      <c r="A66" s="2">
        <v>62</v>
      </c>
      <c r="B66" s="2">
        <f t="shared" si="6"/>
        <v>52.125891574703019</v>
      </c>
      <c r="C66" s="2">
        <f t="shared" si="4"/>
        <v>83.566512086163584</v>
      </c>
      <c r="D66" s="2">
        <f t="shared" si="5"/>
        <v>0.97170362890887885</v>
      </c>
    </row>
    <row r="67" spans="1:4" x14ac:dyDescent="0.25">
      <c r="A67" s="2">
        <v>63</v>
      </c>
      <c r="B67" s="2">
        <f t="shared" si="6"/>
        <v>83.566512086163584</v>
      </c>
      <c r="C67" s="2">
        <f t="shared" si="4"/>
        <v>51.049304387736129</v>
      </c>
      <c r="D67" s="2">
        <f t="shared" si="5"/>
        <v>0.59359656264809457</v>
      </c>
    </row>
    <row r="68" spans="1:4" x14ac:dyDescent="0.25">
      <c r="A68" s="2">
        <v>64</v>
      </c>
      <c r="B68" s="2">
        <f t="shared" si="6"/>
        <v>51.049304387736129</v>
      </c>
      <c r="C68" s="2">
        <f t="shared" si="4"/>
        <v>78.721869744812579</v>
      </c>
      <c r="D68" s="2">
        <f t="shared" si="5"/>
        <v>0.91537057842805325</v>
      </c>
    </row>
    <row r="69" spans="1:4" x14ac:dyDescent="0.25">
      <c r="A69" s="2">
        <v>65</v>
      </c>
      <c r="B69" s="2">
        <f t="shared" si="6"/>
        <v>78.721869744812579</v>
      </c>
      <c r="C69" s="2">
        <f t="shared" si="4"/>
        <v>29.248413851656608</v>
      </c>
      <c r="D69" s="2">
        <f t="shared" si="5"/>
        <v>0.34009783548437916</v>
      </c>
    </row>
    <row r="70" spans="1:4" x14ac:dyDescent="0.25">
      <c r="A70" s="2">
        <v>66</v>
      </c>
      <c r="B70" s="2">
        <f t="shared" si="6"/>
        <v>29.248413851656608</v>
      </c>
      <c r="C70" s="2">
        <f t="shared" ref="C70:C104" si="7">MOD(($C$2*B70+$E$2),$G$2)</f>
        <v>67.617862332454735</v>
      </c>
      <c r="D70" s="2">
        <f t="shared" ref="D70:D104" si="8">C70/($G$2-1)</f>
        <v>0.78625421316807831</v>
      </c>
    </row>
    <row r="71" spans="1:4" x14ac:dyDescent="0.25">
      <c r="A71" s="2">
        <v>67</v>
      </c>
      <c r="B71" s="2">
        <f t="shared" ref="B71:B104" si="9">C70</f>
        <v>67.617862332454735</v>
      </c>
      <c r="C71" s="2">
        <f t="shared" si="7"/>
        <v>66.280380496046291</v>
      </c>
      <c r="D71" s="2">
        <f t="shared" si="8"/>
        <v>0.77070209879123597</v>
      </c>
    </row>
    <row r="72" spans="1:4" x14ac:dyDescent="0.25">
      <c r="A72" s="2">
        <v>68</v>
      </c>
      <c r="B72" s="2">
        <f t="shared" si="9"/>
        <v>66.280380496046291</v>
      </c>
      <c r="C72" s="2">
        <f t="shared" si="7"/>
        <v>60.261712232208311</v>
      </c>
      <c r="D72" s="2">
        <f t="shared" si="8"/>
        <v>0.70071758409544549</v>
      </c>
    </row>
    <row r="73" spans="1:4" x14ac:dyDescent="0.25">
      <c r="A73" s="2">
        <v>69</v>
      </c>
      <c r="B73" s="2">
        <f t="shared" si="9"/>
        <v>60.261712232208311</v>
      </c>
      <c r="C73" s="2">
        <f t="shared" si="7"/>
        <v>33.177705044937397</v>
      </c>
      <c r="D73" s="2">
        <f t="shared" si="8"/>
        <v>0.38578726796438834</v>
      </c>
    </row>
    <row r="74" spans="1:4" x14ac:dyDescent="0.25">
      <c r="A74" s="2">
        <v>70</v>
      </c>
      <c r="B74" s="2">
        <f t="shared" si="9"/>
        <v>33.177705044937397</v>
      </c>
      <c r="C74" s="2">
        <f t="shared" si="7"/>
        <v>85.299672702218288</v>
      </c>
      <c r="D74" s="2">
        <f t="shared" si="8"/>
        <v>0.99185665932811962</v>
      </c>
    </row>
    <row r="75" spans="1:4" x14ac:dyDescent="0.25">
      <c r="A75" s="2">
        <v>71</v>
      </c>
      <c r="B75" s="2">
        <f t="shared" si="9"/>
        <v>85.299672702218288</v>
      </c>
      <c r="C75" s="2">
        <f t="shared" si="7"/>
        <v>58.848527159982268</v>
      </c>
      <c r="D75" s="2">
        <f t="shared" si="8"/>
        <v>0.68428519953467759</v>
      </c>
    </row>
    <row r="76" spans="1:4" x14ac:dyDescent="0.25">
      <c r="A76" s="2">
        <v>72</v>
      </c>
      <c r="B76" s="2">
        <f t="shared" si="9"/>
        <v>58.848527159982268</v>
      </c>
      <c r="C76" s="2">
        <f t="shared" si="7"/>
        <v>26.818372219920207</v>
      </c>
      <c r="D76" s="2">
        <f t="shared" si="8"/>
        <v>0.31184153744093263</v>
      </c>
    </row>
    <row r="77" spans="1:4" x14ac:dyDescent="0.25">
      <c r="A77" s="2">
        <v>73</v>
      </c>
      <c r="B77" s="2">
        <f t="shared" si="9"/>
        <v>26.818372219920207</v>
      </c>
      <c r="C77" s="2">
        <f t="shared" si="7"/>
        <v>56.68267498964093</v>
      </c>
      <c r="D77" s="2">
        <f t="shared" si="8"/>
        <v>0.65910087197256895</v>
      </c>
    </row>
    <row r="78" spans="1:4" x14ac:dyDescent="0.25">
      <c r="A78" s="2">
        <v>74</v>
      </c>
      <c r="B78" s="2">
        <f t="shared" si="9"/>
        <v>56.68267498964093</v>
      </c>
      <c r="C78" s="2">
        <f t="shared" si="7"/>
        <v>17.072037453384155</v>
      </c>
      <c r="D78" s="2">
        <f t="shared" si="8"/>
        <v>0.19851206341144367</v>
      </c>
    </row>
    <row r="79" spans="1:4" x14ac:dyDescent="0.25">
      <c r="A79" s="2">
        <v>75</v>
      </c>
      <c r="B79" s="2">
        <f t="shared" si="9"/>
        <v>17.072037453384155</v>
      </c>
      <c r="C79" s="2">
        <f t="shared" si="7"/>
        <v>12.824168540228698</v>
      </c>
      <c r="D79" s="2">
        <f t="shared" si="8"/>
        <v>0.14911823883986858</v>
      </c>
    </row>
    <row r="80" spans="1:4" x14ac:dyDescent="0.25">
      <c r="A80" s="2">
        <v>76</v>
      </c>
      <c r="B80" s="2">
        <f t="shared" si="9"/>
        <v>12.824168540228698</v>
      </c>
      <c r="C80" s="2">
        <f t="shared" si="7"/>
        <v>80.708758431029139</v>
      </c>
      <c r="D80" s="2">
        <f t="shared" si="8"/>
        <v>0.93847393524452483</v>
      </c>
    </row>
    <row r="81" spans="1:4" x14ac:dyDescent="0.25">
      <c r="A81" s="2">
        <v>77</v>
      </c>
      <c r="B81" s="2">
        <f t="shared" si="9"/>
        <v>80.708758431029139</v>
      </c>
      <c r="C81" s="2">
        <f t="shared" si="7"/>
        <v>38.189412939631097</v>
      </c>
      <c r="D81" s="2">
        <f t="shared" si="8"/>
        <v>0.44406294115850115</v>
      </c>
    </row>
    <row r="82" spans="1:4" x14ac:dyDescent="0.25">
      <c r="A82" s="2">
        <v>78</v>
      </c>
      <c r="B82" s="2">
        <f t="shared" si="9"/>
        <v>38.189412939631097</v>
      </c>
      <c r="C82" s="2">
        <f t="shared" si="7"/>
        <v>20.852358228339938</v>
      </c>
      <c r="D82" s="2">
        <f t="shared" si="8"/>
        <v>0.242469281724883</v>
      </c>
    </row>
    <row r="83" spans="1:4" x14ac:dyDescent="0.25">
      <c r="A83" s="2">
        <v>79</v>
      </c>
      <c r="B83" s="2">
        <f t="shared" si="9"/>
        <v>20.852358228339938</v>
      </c>
      <c r="C83" s="2">
        <f t="shared" si="7"/>
        <v>29.83561202752972</v>
      </c>
      <c r="D83" s="2">
        <f t="shared" si="8"/>
        <v>0.3469257212503456</v>
      </c>
    </row>
    <row r="84" spans="1:4" x14ac:dyDescent="0.25">
      <c r="A84" s="2">
        <v>80</v>
      </c>
      <c r="B84" s="2">
        <f t="shared" si="9"/>
        <v>29.83561202752972</v>
      </c>
      <c r="C84" s="2">
        <f t="shared" si="7"/>
        <v>70.260254123883726</v>
      </c>
      <c r="D84" s="2">
        <f t="shared" si="8"/>
        <v>0.81697969911492707</v>
      </c>
    </row>
    <row r="85" spans="1:4" x14ac:dyDescent="0.25">
      <c r="A85" s="2">
        <v>81</v>
      </c>
      <c r="B85" s="2">
        <f t="shared" si="9"/>
        <v>70.260254123883726</v>
      </c>
      <c r="C85" s="2">
        <f t="shared" si="7"/>
        <v>78.171143557476739</v>
      </c>
      <c r="D85" s="2">
        <f t="shared" si="8"/>
        <v>0.90896678555205512</v>
      </c>
    </row>
    <row r="86" spans="1:4" x14ac:dyDescent="0.25">
      <c r="A86" s="2">
        <v>82</v>
      </c>
      <c r="B86" s="2">
        <f t="shared" si="9"/>
        <v>78.171143557476739</v>
      </c>
      <c r="C86" s="2">
        <f t="shared" si="7"/>
        <v>26.770146008645327</v>
      </c>
      <c r="D86" s="2">
        <f t="shared" si="8"/>
        <v>0.31128076754238754</v>
      </c>
    </row>
    <row r="87" spans="1:4" x14ac:dyDescent="0.25">
      <c r="A87" s="2">
        <v>83</v>
      </c>
      <c r="B87" s="2">
        <f t="shared" si="9"/>
        <v>26.770146008645327</v>
      </c>
      <c r="C87" s="2">
        <f t="shared" si="7"/>
        <v>56.46565703890397</v>
      </c>
      <c r="D87" s="2">
        <f t="shared" si="8"/>
        <v>0.65657740742911597</v>
      </c>
    </row>
    <row r="88" spans="1:4" x14ac:dyDescent="0.25">
      <c r="A88" s="2">
        <v>84</v>
      </c>
      <c r="B88" s="2">
        <f t="shared" si="9"/>
        <v>56.46565703890397</v>
      </c>
      <c r="C88" s="2">
        <f t="shared" si="7"/>
        <v>16.095456675067851</v>
      </c>
      <c r="D88" s="2">
        <f t="shared" si="8"/>
        <v>0.18715647296590524</v>
      </c>
    </row>
    <row r="89" spans="1:4" x14ac:dyDescent="0.25">
      <c r="A89" s="2">
        <v>85</v>
      </c>
      <c r="B89" s="2">
        <f t="shared" si="9"/>
        <v>16.095456675067851</v>
      </c>
      <c r="C89" s="2">
        <f t="shared" si="7"/>
        <v>8.4295550378053292</v>
      </c>
      <c r="D89" s="2">
        <f t="shared" si="8"/>
        <v>9.8018081834945689E-2</v>
      </c>
    </row>
    <row r="90" spans="1:4" x14ac:dyDescent="0.25">
      <c r="A90" s="2">
        <v>86</v>
      </c>
      <c r="B90" s="2">
        <f t="shared" si="9"/>
        <v>8.4295550378053292</v>
      </c>
      <c r="C90" s="2">
        <f t="shared" si="7"/>
        <v>60.932997670123981</v>
      </c>
      <c r="D90" s="2">
        <f t="shared" si="8"/>
        <v>0.70852322872237183</v>
      </c>
    </row>
    <row r="91" spans="1:4" x14ac:dyDescent="0.25">
      <c r="A91" s="2">
        <v>87</v>
      </c>
      <c r="B91" s="2">
        <f t="shared" si="9"/>
        <v>60.932997670123981</v>
      </c>
      <c r="C91" s="2">
        <f t="shared" si="7"/>
        <v>36.198489515557924</v>
      </c>
      <c r="D91" s="2">
        <f t="shared" si="8"/>
        <v>0.42091266878555728</v>
      </c>
    </row>
    <row r="92" spans="1:4" x14ac:dyDescent="0.25">
      <c r="A92" s="2">
        <v>88</v>
      </c>
      <c r="B92" s="2">
        <f t="shared" si="9"/>
        <v>36.198489515557924</v>
      </c>
      <c r="C92" s="2">
        <f t="shared" si="7"/>
        <v>11.893202820010657</v>
      </c>
      <c r="D92" s="2">
        <f t="shared" si="8"/>
        <v>0.13829305604663555</v>
      </c>
    </row>
    <row r="93" spans="1:4" x14ac:dyDescent="0.25">
      <c r="A93" s="2">
        <v>89</v>
      </c>
      <c r="B93" s="2">
        <f t="shared" si="9"/>
        <v>11.893202820010657</v>
      </c>
      <c r="C93" s="2">
        <f t="shared" si="7"/>
        <v>76.519412690047957</v>
      </c>
      <c r="D93" s="2">
        <f t="shared" si="8"/>
        <v>0.8897606126749763</v>
      </c>
    </row>
    <row r="94" spans="1:4" x14ac:dyDescent="0.25">
      <c r="A94" s="2">
        <v>90</v>
      </c>
      <c r="B94" s="2">
        <f t="shared" si="9"/>
        <v>76.519412690047957</v>
      </c>
      <c r="C94" s="2">
        <f t="shared" si="7"/>
        <v>19.337357105215801</v>
      </c>
      <c r="D94" s="2">
        <f t="shared" si="8"/>
        <v>0.22485298959553257</v>
      </c>
    </row>
    <row r="95" spans="1:4" x14ac:dyDescent="0.25">
      <c r="A95" s="2">
        <v>91</v>
      </c>
      <c r="B95" s="2">
        <f t="shared" si="9"/>
        <v>19.337357105215801</v>
      </c>
      <c r="C95" s="2">
        <f t="shared" si="7"/>
        <v>23.018106973471106</v>
      </c>
      <c r="D95" s="2">
        <f t="shared" si="8"/>
        <v>0.26765240666826867</v>
      </c>
    </row>
    <row r="96" spans="1:4" x14ac:dyDescent="0.25">
      <c r="A96" s="2">
        <v>92</v>
      </c>
      <c r="B96" s="2">
        <f t="shared" si="9"/>
        <v>23.018106973471106</v>
      </c>
      <c r="C96" s="2">
        <f t="shared" si="7"/>
        <v>39.581481380619977</v>
      </c>
      <c r="D96" s="2">
        <f t="shared" si="8"/>
        <v>0.4602497834955811</v>
      </c>
    </row>
    <row r="97" spans="1:4" x14ac:dyDescent="0.25">
      <c r="A97" s="2">
        <v>93</v>
      </c>
      <c r="B97" s="2">
        <f t="shared" si="9"/>
        <v>39.581481380619977</v>
      </c>
      <c r="C97" s="2">
        <f t="shared" si="7"/>
        <v>27.11666621278988</v>
      </c>
      <c r="D97" s="2">
        <f t="shared" si="8"/>
        <v>0.31531007224174279</v>
      </c>
    </row>
    <row r="98" spans="1:4" x14ac:dyDescent="0.25">
      <c r="A98" s="2">
        <v>94</v>
      </c>
      <c r="B98" s="2">
        <f t="shared" si="9"/>
        <v>27.11666621278988</v>
      </c>
      <c r="C98" s="2">
        <f t="shared" si="7"/>
        <v>58.024997957554461</v>
      </c>
      <c r="D98" s="2">
        <f t="shared" si="8"/>
        <v>0.67470927857621465</v>
      </c>
    </row>
    <row r="99" spans="1:4" x14ac:dyDescent="0.25">
      <c r="A99" s="2">
        <v>95</v>
      </c>
      <c r="B99" s="2">
        <f t="shared" si="9"/>
        <v>58.024997957554461</v>
      </c>
      <c r="C99" s="2">
        <f t="shared" si="7"/>
        <v>23.112490808995062</v>
      </c>
      <c r="D99" s="2">
        <f t="shared" si="8"/>
        <v>0.26874989312784958</v>
      </c>
    </row>
    <row r="100" spans="1:4" x14ac:dyDescent="0.25">
      <c r="A100" s="2">
        <v>96</v>
      </c>
      <c r="B100" s="2">
        <f t="shared" si="9"/>
        <v>23.112490808995062</v>
      </c>
      <c r="C100" s="2">
        <f t="shared" si="7"/>
        <v>40.00620864047778</v>
      </c>
      <c r="D100" s="2">
        <f t="shared" si="8"/>
        <v>0.46518847256369511</v>
      </c>
    </row>
    <row r="101" spans="1:4" x14ac:dyDescent="0.25">
      <c r="A101" s="2">
        <v>97</v>
      </c>
      <c r="B101" s="2">
        <f t="shared" si="9"/>
        <v>40.00620864047778</v>
      </c>
      <c r="C101" s="2">
        <f t="shared" si="7"/>
        <v>29.027938882150011</v>
      </c>
      <c r="D101" s="2">
        <f t="shared" si="8"/>
        <v>0.33753417304825595</v>
      </c>
    </row>
    <row r="102" spans="1:4" x14ac:dyDescent="0.25">
      <c r="A102" s="2">
        <v>98</v>
      </c>
      <c r="B102" s="2">
        <f t="shared" si="9"/>
        <v>29.027938882150011</v>
      </c>
      <c r="C102" s="2">
        <f t="shared" si="7"/>
        <v>66.625724969675048</v>
      </c>
      <c r="D102" s="2">
        <f t="shared" si="8"/>
        <v>0.77471773220552376</v>
      </c>
    </row>
    <row r="103" spans="1:4" x14ac:dyDescent="0.25">
      <c r="A103" s="2">
        <v>99</v>
      </c>
      <c r="B103" s="2">
        <f t="shared" si="9"/>
        <v>66.625724969675048</v>
      </c>
      <c r="C103" s="2">
        <f t="shared" si="7"/>
        <v>61.815762363537715</v>
      </c>
      <c r="D103" s="2">
        <f t="shared" si="8"/>
        <v>0.71878793445974087</v>
      </c>
    </row>
    <row r="104" spans="1:4" x14ac:dyDescent="0.25">
      <c r="A104" s="2">
        <v>100</v>
      </c>
      <c r="B104" s="2">
        <f t="shared" si="9"/>
        <v>61.815762363537715</v>
      </c>
      <c r="C104" s="2">
        <f t="shared" si="7"/>
        <v>40.170930635919717</v>
      </c>
      <c r="D104" s="2">
        <f t="shared" si="8"/>
        <v>0.46710384460371762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 Шорина</dc:creator>
  <cp:lastModifiedBy>Даниил Вишнивецкий</cp:lastModifiedBy>
  <dcterms:created xsi:type="dcterms:W3CDTF">2025-09-25T17:01:40Z</dcterms:created>
  <dcterms:modified xsi:type="dcterms:W3CDTF">2025-09-29T14:41:43Z</dcterms:modified>
</cp:coreProperties>
</file>